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tit_rikkei\it1_cntt1\"/>
    </mc:Choice>
  </mc:AlternateContent>
  <xr:revisionPtr revIDLastSave="0" documentId="13_ncr:1_{34496186-478C-4EC3-A905-5250FF7D02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shboard Tổng Quan" sheetId="1" r:id="rId1"/>
    <sheet name="Dữ Liệu Người Dùng" sheetId="2" r:id="rId2"/>
    <sheet name="Thực Đơn Cân Bằng Giá R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B4" i="1"/>
  <c r="D8" i="1"/>
  <c r="D7" i="1"/>
  <c r="J5" i="2"/>
  <c r="P14" i="2"/>
  <c r="E14" i="2"/>
  <c r="E7" i="1"/>
  <c r="F13" i="3"/>
  <c r="E13" i="3"/>
  <c r="G12" i="3"/>
  <c r="G11" i="3"/>
  <c r="G10" i="3"/>
  <c r="G9" i="3"/>
  <c r="G8" i="3"/>
  <c r="G7" i="3"/>
  <c r="G6" i="3"/>
  <c r="G5" i="3"/>
  <c r="G4" i="3"/>
  <c r="G3" i="3"/>
  <c r="R14" i="2"/>
  <c r="O14" i="2"/>
  <c r="N14" i="2"/>
  <c r="L14" i="2"/>
  <c r="K14" i="2"/>
  <c r="I14" i="2"/>
  <c r="H14" i="2"/>
  <c r="F14" i="2"/>
  <c r="S13" i="2"/>
  <c r="P13" i="2"/>
  <c r="M13" i="2"/>
  <c r="J13" i="2"/>
  <c r="G13" i="2"/>
  <c r="S12" i="2"/>
  <c r="P12" i="2"/>
  <c r="M12" i="2"/>
  <c r="J12" i="2"/>
  <c r="G12" i="2"/>
  <c r="S11" i="2"/>
  <c r="P11" i="2"/>
  <c r="M11" i="2"/>
  <c r="J11" i="2"/>
  <c r="G11" i="2"/>
  <c r="S10" i="2"/>
  <c r="P10" i="2"/>
  <c r="M10" i="2"/>
  <c r="J10" i="2"/>
  <c r="G10" i="2"/>
  <c r="S9" i="2"/>
  <c r="P9" i="2"/>
  <c r="M9" i="2"/>
  <c r="J9" i="2"/>
  <c r="G9" i="2"/>
  <c r="S8" i="2"/>
  <c r="P8" i="2"/>
  <c r="M8" i="2"/>
  <c r="J8" i="2"/>
  <c r="G8" i="2"/>
  <c r="S7" i="2"/>
  <c r="P7" i="2"/>
  <c r="M7" i="2"/>
  <c r="J7" i="2"/>
  <c r="G7" i="2"/>
  <c r="S6" i="2"/>
  <c r="P6" i="2"/>
  <c r="M6" i="2"/>
  <c r="J6" i="2"/>
  <c r="G6" i="2"/>
  <c r="S5" i="2"/>
  <c r="P5" i="2"/>
  <c r="M5" i="2"/>
  <c r="G5" i="2"/>
  <c r="P4" i="2"/>
  <c r="M4" i="2"/>
  <c r="G4" i="2"/>
  <c r="E11" i="1"/>
  <c r="E10" i="1"/>
  <c r="D10" i="1"/>
  <c r="E9" i="1"/>
  <c r="D9" i="1"/>
  <c r="E8" i="1"/>
  <c r="Q14" i="2" l="1"/>
  <c r="S4" i="2"/>
  <c r="D11" i="1"/>
  <c r="D4" i="1"/>
  <c r="M14" i="2"/>
  <c r="G14" i="2"/>
  <c r="J14" i="2"/>
  <c r="F11" i="1"/>
  <c r="F10" i="1"/>
  <c r="F9" i="1"/>
  <c r="F8" i="1"/>
  <c r="F7" i="1"/>
  <c r="S14" i="2" l="1"/>
  <c r="F4" i="1"/>
</calcChain>
</file>

<file path=xl/sharedStrings.xml><?xml version="1.0" encoding="utf-8"?>
<sst xmlns="http://schemas.openxmlformats.org/spreadsheetml/2006/main" count="122" uniqueCount="97">
  <si>
    <t>DỰ ÁN CATTLE HEALTH - BÁO CÁO THỐNG KÊ HIỆU QUẢ ỨNG DỤNG</t>
  </si>
  <si>
    <t xml:space="preserve">Mức tăng thời gian ngủ TB
</t>
  </si>
  <si>
    <t xml:space="preserve">Mức tăng hoàn thành KPI
</t>
  </si>
  <si>
    <t>Mã Chỉ Số</t>
  </si>
  <si>
    <t>Tên Chỉ Số Sức Khỏe / Sinh Hoạt</t>
  </si>
  <si>
    <t>Đơn Vị</t>
  </si>
  <si>
    <t>Trước App (TB)</t>
  </si>
  <si>
    <t>Sau App (TB)</t>
  </si>
  <si>
    <t>Đánh Giá Tiến Bộ</t>
  </si>
  <si>
    <t>CS01</t>
  </si>
  <si>
    <t>Thời gian ngủ trung bình</t>
  </si>
  <si>
    <t>Giờ/ngày</t>
  </si>
  <si>
    <t>CS02</t>
  </si>
  <si>
    <t>Lượng nước uống hằng ngày</t>
  </si>
  <si>
    <t>Lít/ngày</t>
  </si>
  <si>
    <t>CS03</t>
  </si>
  <si>
    <t>Thời gian vận động thể chất</t>
  </si>
  <si>
    <t>Phút/ngày</t>
  </si>
  <si>
    <t>CS04</t>
  </si>
  <si>
    <t>Số ngày chi tiêu vượt ngân sách</t>
  </si>
  <si>
    <t>Ngày/tuần</t>
  </si>
  <si>
    <t>CS05</t>
  </si>
  <si>
    <t>Tỷ lệ hoàn thành thời khóa biểu</t>
  </si>
  <si>
    <t>%</t>
  </si>
  <si>
    <t>STT</t>
  </si>
  <si>
    <t>Mã User</t>
  </si>
  <si>
    <t>Họ và Tên</t>
  </si>
  <si>
    <t>Nhóm Tuổi</t>
  </si>
  <si>
    <t>Giấc Ngủ (Giờ/Ngày)</t>
  </si>
  <si>
    <t>Uống Nước (Lít/Ngày)</t>
  </si>
  <si>
    <t>Vận Động (Phút/Ngày)</t>
  </si>
  <si>
    <t>Chi Vượt Ngân Sách (Ngày/Tuần)</t>
  </si>
  <si>
    <t>Hoàn Thành Lịch (%)</t>
  </si>
  <si>
    <t>Trước</t>
  </si>
  <si>
    <t>Sau</t>
  </si>
  <si>
    <t>Thay Đổi</t>
  </si>
  <si>
    <t>% Thay Đổi</t>
  </si>
  <si>
    <t>% Cải Thiện</t>
  </si>
  <si>
    <t>CH-101</t>
  </si>
  <si>
    <t>18-22</t>
  </si>
  <si>
    <t>CH-102</t>
  </si>
  <si>
    <t>CH-103</t>
  </si>
  <si>
    <t>23-25</t>
  </si>
  <si>
    <t>CH-104</t>
  </si>
  <si>
    <t>CH-105</t>
  </si>
  <si>
    <t>CH-106</t>
  </si>
  <si>
    <t>CH-107</t>
  </si>
  <si>
    <t>CH-108</t>
  </si>
  <si>
    <t>CH-109</t>
  </si>
  <si>
    <t>CH-110</t>
  </si>
  <si>
    <t>Bữa Ăn</t>
  </si>
  <si>
    <t>Tên Món Ăn Gợi Ý</t>
  </si>
  <si>
    <t>Thành Phần / Nguyên Liệu Chính</t>
  </si>
  <si>
    <t>Chi Phí Ước Tính (VNĐ)</t>
  </si>
  <si>
    <t>Phù Hợp Ngân Sách</t>
  </si>
  <si>
    <t>Sáng</t>
  </si>
  <si>
    <t>Cơm tấm trứng ốp la + Dưa leo</t>
  </si>
  <si>
    <t>Gạo tấm, 1 quả trứng, dưa leo, mỡ hành</t>
  </si>
  <si>
    <t>Bánh mì ốp la 2 trứng + Sữa đậu nành</t>
  </si>
  <si>
    <t>Bánh mì, 2 quả trứng, sữa đậu nành không đường</t>
  </si>
  <si>
    <t>Yến mạch pha sữa tươi &amp; Chuối</t>
  </si>
  <si>
    <t>Yến mạch (50g), sữa tươi (200ml), 1 quả chuối</t>
  </si>
  <si>
    <t>Trưa</t>
  </si>
  <si>
    <t>Cơm gà kho sả ớt + Canh rau cải</t>
  </si>
  <si>
    <t>Gùi gà/ức gà (150g), cơm, rau cải xanh</t>
  </si>
  <si>
    <t>Cơm thịt lợn luộc + Cà chua, dưa leo + Canh bí</t>
  </si>
  <si>
    <t>Thịt lợn nạc (120g), cơm, rau củ ăn kèm</t>
  </si>
  <si>
    <t>Cơm cá nục kho đậu + Canh rau ngót</t>
  </si>
  <si>
    <t>Cá nục (150g), cơm, rau ngót</t>
  </si>
  <si>
    <t>Tối</t>
  </si>
  <si>
    <t>Cơm đậu hũ dồn thịt sốt cà chua + Canh hẹ</t>
  </si>
  <si>
    <t>Đậu hũ (2 miếng), thịt băm (80g), cà chua</t>
  </si>
  <si>
    <t>Cơm trứng chiên thịt băm + Rau luộc</t>
  </si>
  <si>
    <t>Trứng (1 quả), thịt băm (50g), rau cải luộc</t>
  </si>
  <si>
    <t>Bún tươi trộn ức gà xé &amp; Phụ gia rau sống</t>
  </si>
  <si>
    <t>Bún (150g), ức gà (120g), rau sống, nước mắm chua ngọt</t>
  </si>
  <si>
    <t>Phụ</t>
  </si>
  <si>
    <t>Sữa chua không đường + Hạt lạc/đậu nành</t>
  </si>
  <si>
    <t>1 hộp sữa chua, hạt đậu phụ</t>
  </si>
  <si>
    <t>TỔNG CHI PHÍ THỰC ĐƠN 1 NGÀY CHUẨN (SÁNG + TRƯA + TỐI)</t>
  </si>
  <si>
    <t>Người dùng 1</t>
  </si>
  <si>
    <t>Người dùng 2</t>
  </si>
  <si>
    <t>Người dùng 3</t>
  </si>
  <si>
    <t>Người dùng 4</t>
  </si>
  <si>
    <t>Người dùng 5</t>
  </si>
  <si>
    <t>Người dùng 6</t>
  </si>
  <si>
    <t>Người dùng 7</t>
  </si>
  <si>
    <t>Người dùng 8</t>
  </si>
  <si>
    <t>Người dùng 9</t>
  </si>
  <si>
    <t>Người dùng 10</t>
  </si>
  <si>
    <t>Tính năng AI đề xuất thực đơn tiết kiệm ngân sách nhưng vẫn đảm bảo đủ dinh dưỡng</t>
  </si>
  <si>
    <t>Kcal</t>
  </si>
  <si>
    <t>TRUNG BÌNH CỘNG</t>
  </si>
  <si>
    <t>MÔ PHỎNG BẢNG DỮ LIỆU THẮNG KÊ CHI TIẾT THEO NGƯỜI DÙNG KHẢO SÁT (2-4 TUẦN)</t>
  </si>
  <si>
    <t xml:space="preserve">"Tổng số người tham gia:" </t>
  </si>
  <si>
    <t>BẢNG TỔNG HỢP CHỈ SỐ TRUNG BÌNH TOÀN MẪU KHẢO SÁT</t>
  </si>
  <si>
    <t xml:space="preserve"> Khảo sát đánh giá các chỉ số sức khỏe và sinh hoạt (Trước và Sau khi dùng App)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</si>
</sst>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\+0.00\ &quot;giờ&quot;"/>
    <numFmt numFmtId="165" formatCode="\+0.0%"/>
    <numFmt numFmtId="166" formatCode="#,##0.0"/>
    <numFmt numFmtId="168" formatCode="0.0"/>
    <numFmt numFmtId="169" formatCode="0.0%"/>
    <numFmt numFmtId="170" formatCode="\+0.0;\-0.0;0.0"/>
    <numFmt numFmtId="171" formatCode="\+#,##0;\-#,##0;0"/>
    <numFmt numFmtId="172" formatCode="\+0;\-0;0"/>
    <numFmt numFmtId="173" formatCode="\+0.0"/>
    <numFmt numFmtId="174" formatCode="\+0"/>
    <numFmt numFmtId="175" formatCode="#,##0\ &quot;VNĐ&quot;"/>
  </numFmts>
  <fonts count="15">
    <font>
      <sz val="11"/>
      <color theme="1"/>
      <name val="Calibri"/>
      <family val="2"/>
      <scheme val="minor"/>
    </font>
    <font>
      <b/>
      <sz val="16"/>
      <color rgb="FF1E3A8A"/>
      <name val="Segoe UI"/>
    </font>
    <font>
      <b/>
      <sz val="10"/>
      <name val="Segoe UI"/>
    </font>
    <font>
      <sz val="10"/>
      <name val="Segoe UI"/>
    </font>
    <font>
      <b/>
      <sz val="11"/>
      <color theme="1"/>
      <name val="Calibri"/>
      <family val="2"/>
      <scheme val="minor"/>
    </font>
    <font>
      <sz val="10"/>
      <name val="Segoe UI"/>
      <family val="2"/>
    </font>
    <font>
      <b/>
      <sz val="10"/>
      <name val="Segoe UI"/>
      <family val="2"/>
    </font>
    <font>
      <b/>
      <sz val="11"/>
      <name val="Segoe U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Segoe UI"/>
      <family val="2"/>
    </font>
    <font>
      <sz val="11"/>
      <name val="Segoe UI"/>
      <family val="2"/>
    </font>
    <font>
      <sz val="12"/>
      <name val="Segoe UI"/>
      <family val="2"/>
    </font>
    <font>
      <b/>
      <sz val="14"/>
      <color rgb="FF00B050"/>
      <name val="Segoe UI"/>
      <family val="2"/>
    </font>
    <font>
      <b/>
      <sz val="15"/>
      <color rgb="FFC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0" fillId="0" borderId="1" xfId="0" applyBorder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/>
    <xf numFmtId="166" fontId="3" fillId="2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166" fontId="3" fillId="0" borderId="2" xfId="0" applyNumberFormat="1" applyFont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168" fontId="3" fillId="0" borderId="2" xfId="0" applyNumberFormat="1" applyFont="1" applyBorder="1" applyAlignment="1">
      <alignment horizontal="right" vertical="center"/>
    </xf>
    <xf numFmtId="169" fontId="3" fillId="2" borderId="2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170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171" fontId="3" fillId="0" borderId="2" xfId="0" applyNumberFormat="1" applyFont="1" applyBorder="1" applyAlignment="1">
      <alignment horizontal="right" vertical="center"/>
    </xf>
    <xf numFmtId="1" fontId="3" fillId="0" borderId="2" xfId="0" applyNumberFormat="1" applyFont="1" applyBorder="1" applyAlignment="1">
      <alignment horizontal="right" vertical="center"/>
    </xf>
    <xf numFmtId="172" fontId="3" fillId="0" borderId="2" xfId="0" applyNumberFormat="1" applyFont="1" applyBorder="1" applyAlignment="1">
      <alignment horizontal="right" vertical="center"/>
    </xf>
    <xf numFmtId="169" fontId="3" fillId="0" borderId="2" xfId="0" applyNumberFormat="1" applyFont="1" applyBorder="1" applyAlignment="1">
      <alignment horizontal="right" vertical="center"/>
    </xf>
    <xf numFmtId="170" fontId="3" fillId="2" borderId="2" xfId="0" applyNumberFormat="1" applyFont="1" applyFill="1" applyBorder="1" applyAlignment="1">
      <alignment horizontal="right" vertical="center"/>
    </xf>
    <xf numFmtId="165" fontId="3" fillId="2" borderId="2" xfId="0" applyNumberFormat="1" applyFont="1" applyFill="1" applyBorder="1" applyAlignment="1">
      <alignment horizontal="right" vertical="center"/>
    </xf>
    <xf numFmtId="171" fontId="3" fillId="2" borderId="2" xfId="0" applyNumberFormat="1" applyFont="1" applyFill="1" applyBorder="1" applyAlignment="1">
      <alignment horizontal="right" vertical="center"/>
    </xf>
    <xf numFmtId="1" fontId="3" fillId="2" borderId="2" xfId="0" applyNumberFormat="1" applyFont="1" applyFill="1" applyBorder="1" applyAlignment="1">
      <alignment horizontal="right" vertical="center"/>
    </xf>
    <xf numFmtId="172" fontId="3" fillId="2" borderId="2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/>
    <xf numFmtId="0" fontId="7" fillId="0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175" fontId="3" fillId="2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75" fontId="3" fillId="0" borderId="2" xfId="0" applyNumberFormat="1" applyFont="1" applyBorder="1" applyAlignment="1">
      <alignment horizontal="right" vertical="center"/>
    </xf>
    <xf numFmtId="0" fontId="0" fillId="0" borderId="2" xfId="0" applyFill="1" applyBorder="1"/>
    <xf numFmtId="0" fontId="6" fillId="0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Fill="1" applyBorder="1"/>
    <xf numFmtId="3" fontId="6" fillId="0" borderId="2" xfId="0" applyNumberFormat="1" applyFont="1" applyFill="1" applyBorder="1"/>
    <xf numFmtId="175" fontId="6" fillId="0" borderId="2" xfId="0" applyNumberFormat="1" applyFont="1" applyFill="1" applyBorder="1"/>
    <xf numFmtId="0" fontId="10" fillId="0" borderId="0" xfId="0" applyFont="1"/>
    <xf numFmtId="0" fontId="6" fillId="0" borderId="1" xfId="0" applyFont="1" applyFill="1" applyBorder="1" applyAlignment="1">
      <alignment horizontal="center" vertical="center" wrapText="1"/>
    </xf>
    <xf numFmtId="0" fontId="12" fillId="0" borderId="0" xfId="0" applyFont="1"/>
    <xf numFmtId="3" fontId="13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8" fontId="2" fillId="0" borderId="2" xfId="0" applyNumberFormat="1" applyFont="1" applyFill="1" applyBorder="1" applyAlignment="1">
      <alignment horizontal="right" vertical="center"/>
    </xf>
    <xf numFmtId="173" fontId="2" fillId="0" borderId="2" xfId="0" applyNumberFormat="1" applyFont="1" applyFill="1" applyBorder="1" applyAlignment="1">
      <alignment horizontal="right" vertical="center"/>
    </xf>
    <xf numFmtId="165" fontId="2" fillId="0" borderId="2" xfId="0" applyNumberFormat="1" applyFont="1" applyFill="1" applyBorder="1" applyAlignment="1">
      <alignment horizontal="right" vertical="center"/>
    </xf>
    <xf numFmtId="1" fontId="2" fillId="0" borderId="2" xfId="0" applyNumberFormat="1" applyFont="1" applyFill="1" applyBorder="1" applyAlignment="1">
      <alignment horizontal="right" vertical="center"/>
    </xf>
    <xf numFmtId="174" fontId="2" fillId="0" borderId="2" xfId="0" applyNumberFormat="1" applyFont="1" applyFill="1" applyBorder="1" applyAlignment="1">
      <alignment horizontal="right" vertical="center"/>
    </xf>
    <xf numFmtId="169" fontId="2" fillId="0" borderId="2" xfId="0" applyNumberFormat="1" applyFont="1" applyFill="1" applyBorder="1" applyAlignment="1">
      <alignment horizontal="right" vertical="center"/>
    </xf>
    <xf numFmtId="0" fontId="14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12" sqref="B12"/>
    </sheetView>
  </sheetViews>
  <sheetFormatPr defaultRowHeight="14.5"/>
  <cols>
    <col min="1" max="1" width="7.08984375" customWidth="1"/>
    <col min="2" max="2" width="27.54296875" customWidth="1"/>
    <col min="3" max="3" width="17" customWidth="1"/>
    <col min="4" max="4" width="16.90625" customWidth="1"/>
    <col min="5" max="6" width="16" customWidth="1"/>
    <col min="7" max="7" width="22" customWidth="1"/>
    <col min="8" max="8" width="12" customWidth="1"/>
  </cols>
  <sheetData>
    <row r="1" spans="1:7" ht="25">
      <c r="A1" s="1" t="s">
        <v>0</v>
      </c>
    </row>
    <row r="2" spans="1:7" ht="17.5">
      <c r="A2" s="42" t="s">
        <v>96</v>
      </c>
    </row>
    <row r="3" spans="1:7" ht="48">
      <c r="B3" s="41" t="s">
        <v>94</v>
      </c>
      <c r="C3" s="2"/>
      <c r="D3" s="41" t="s">
        <v>1</v>
      </c>
      <c r="E3" s="2"/>
      <c r="F3" s="41" t="s">
        <v>2</v>
      </c>
      <c r="G3" s="2"/>
    </row>
    <row r="4" spans="1:7" ht="21">
      <c r="B4" s="43">
        <f>COUNTA('Dữ Liệu Người Dùng'!A4:A13)</f>
        <v>10</v>
      </c>
      <c r="C4" s="2"/>
      <c r="D4" s="44">
        <f>AVERAGE('Dữ Liệu Người Dùng'!G4:G13)</f>
        <v>1.3800000000000001</v>
      </c>
      <c r="E4" s="2"/>
      <c r="F4" s="45">
        <f>AVERAGE('Dữ Liệu Người Dùng'!S4:S13)</f>
        <v>0.25800000000000001</v>
      </c>
      <c r="G4" s="2"/>
    </row>
    <row r="5" spans="1:7" ht="17.5">
      <c r="A5" s="40" t="s">
        <v>95</v>
      </c>
    </row>
    <row r="6" spans="1:7" ht="33">
      <c r="A6" s="12" t="s">
        <v>3</v>
      </c>
      <c r="B6" s="12" t="s">
        <v>4</v>
      </c>
      <c r="C6" s="12" t="s">
        <v>5</v>
      </c>
      <c r="D6" s="12" t="s">
        <v>6</v>
      </c>
      <c r="E6" s="12" t="s">
        <v>7</v>
      </c>
      <c r="F6" s="12" t="s">
        <v>8</v>
      </c>
    </row>
    <row r="7" spans="1:7" ht="16">
      <c r="A7" s="3" t="s">
        <v>9</v>
      </c>
      <c r="B7" s="4" t="s">
        <v>10</v>
      </c>
      <c r="C7" s="3" t="s">
        <v>11</v>
      </c>
      <c r="D7" s="5">
        <f>AVERAGE('Dữ Liệu Người Dùng'!E4:E13)</f>
        <v>5.87</v>
      </c>
      <c r="E7" s="5">
        <f>AVERAGE('Dữ Liệu Người Dùng'!F4:F13)</f>
        <v>7.25</v>
      </c>
      <c r="F7" s="35" t="str">
        <f>IF(E7&gt;0,"Cải thiện rõ rệt","Tốt")</f>
        <v>Cải thiện rõ rệt</v>
      </c>
    </row>
    <row r="8" spans="1:7" ht="16">
      <c r="A8" s="6" t="s">
        <v>12</v>
      </c>
      <c r="B8" s="7" t="s">
        <v>13</v>
      </c>
      <c r="C8" s="6" t="s">
        <v>14</v>
      </c>
      <c r="D8" s="8">
        <f>AVERAGE('Dữ Liệu Người Dùng'!H4:H13)</f>
        <v>1.1400000000000001</v>
      </c>
      <c r="E8" s="8">
        <f>AVERAGE('Dữ Liệu Người Dùng'!I4:I13)</f>
        <v>1.9400000000000002</v>
      </c>
      <c r="F8" s="36" t="str">
        <f>IF(E8&gt;0,"Đạt mục tiêu","Cần duy trì")</f>
        <v>Đạt mục tiêu</v>
      </c>
    </row>
    <row r="9" spans="1:7" ht="16">
      <c r="A9" s="3" t="s">
        <v>15</v>
      </c>
      <c r="B9" s="4" t="s">
        <v>16</v>
      </c>
      <c r="C9" s="3" t="s">
        <v>17</v>
      </c>
      <c r="D9" s="9">
        <f>AVERAGE('Dữ Liệu Người Dùng'!K4:K13)</f>
        <v>16</v>
      </c>
      <c r="E9" s="9">
        <f>AVERAGE('Dữ Liệu Người Dùng'!L4:L13)</f>
        <v>35.5</v>
      </c>
      <c r="F9" s="35" t="str">
        <f>IF(E9&gt;0,"Cải thiện tốt","Bình thường")</f>
        <v>Cải thiện tốt</v>
      </c>
    </row>
    <row r="10" spans="1:7" ht="16">
      <c r="A10" s="6" t="s">
        <v>18</v>
      </c>
      <c r="B10" s="7" t="s">
        <v>19</v>
      </c>
      <c r="C10" s="6" t="s">
        <v>20</v>
      </c>
      <c r="D10" s="10">
        <f>AVERAGE('Dữ Liệu Người Dùng'!N4:N13)</f>
        <v>4.5</v>
      </c>
      <c r="E10" s="10">
        <f>AVERAGE('Dữ Liệu Người Dùng'!O4:O13)</f>
        <v>1.7</v>
      </c>
      <c r="F10" s="36" t="str">
        <f>IF(E10&lt;0,"Giảm lãng phí","Cần tối ưu")</f>
        <v>Cần tối ưu</v>
      </c>
    </row>
    <row r="11" spans="1:7" ht="16">
      <c r="A11" s="3" t="s">
        <v>21</v>
      </c>
      <c r="B11" s="4" t="s">
        <v>22</v>
      </c>
      <c r="C11" s="3" t="s">
        <v>23</v>
      </c>
      <c r="D11" s="11">
        <f>AVERAGE('Dữ Liệu Người Dùng'!Q4:Q13)</f>
        <v>0.57099999999999995</v>
      </c>
      <c r="E11" s="11">
        <f>AVERAGE('Dữ Liệu Người Dùng'!R4:R13)</f>
        <v>0.82900000000000007</v>
      </c>
      <c r="F11" s="35" t="str">
        <f>IF(E11&gt;0,"Kỷ luật cao","Tiến bộ")</f>
        <v>Kỷ luật cao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"/>
  <sheetViews>
    <sheetView workbookViewId="0">
      <selection activeCell="L17" sqref="L17"/>
    </sheetView>
  </sheetViews>
  <sheetFormatPr defaultRowHeight="14.5"/>
  <cols>
    <col min="1" max="1" width="5.54296875" customWidth="1"/>
    <col min="2" max="2" width="10.1796875" customWidth="1"/>
    <col min="3" max="3" width="13.81640625" customWidth="1"/>
    <col min="4" max="4" width="11.54296875" customWidth="1"/>
    <col min="5" max="5" width="6.81640625" customWidth="1"/>
    <col min="6" max="6" width="5.54296875" customWidth="1"/>
    <col min="7" max="7" width="9.1796875" customWidth="1"/>
    <col min="8" max="8" width="6.7265625" customWidth="1"/>
    <col min="9" max="9" width="5.453125" customWidth="1"/>
    <col min="10" max="10" width="11.36328125" customWidth="1"/>
    <col min="11" max="11" width="6.453125" customWidth="1"/>
    <col min="12" max="12" width="4.81640625" customWidth="1"/>
    <col min="13" max="13" width="8.81640625" customWidth="1"/>
    <col min="14" max="15" width="7.26953125" customWidth="1"/>
    <col min="16" max="16" width="9.1796875" customWidth="1"/>
    <col min="17" max="17" width="7.81640625" customWidth="1"/>
    <col min="18" max="18" width="7.453125" customWidth="1"/>
    <col min="19" max="19" width="12.36328125" customWidth="1"/>
  </cols>
  <sheetData>
    <row r="1" spans="1:19" ht="22.5">
      <c r="A1" s="52" t="s">
        <v>93</v>
      </c>
    </row>
    <row r="2" spans="1:19">
      <c r="A2" s="26" t="s">
        <v>24</v>
      </c>
      <c r="B2" s="26" t="s">
        <v>25</v>
      </c>
      <c r="C2" s="26" t="s">
        <v>26</v>
      </c>
      <c r="D2" s="26" t="s">
        <v>27</v>
      </c>
      <c r="E2" s="26" t="s">
        <v>28</v>
      </c>
      <c r="F2" s="27"/>
      <c r="G2" s="27"/>
      <c r="H2" s="26" t="s">
        <v>29</v>
      </c>
      <c r="I2" s="27"/>
      <c r="J2" s="27"/>
      <c r="K2" s="26" t="s">
        <v>30</v>
      </c>
      <c r="L2" s="27"/>
      <c r="M2" s="27"/>
      <c r="N2" s="26" t="s">
        <v>31</v>
      </c>
      <c r="O2" s="27"/>
      <c r="P2" s="27"/>
      <c r="Q2" s="26" t="s">
        <v>32</v>
      </c>
      <c r="R2" s="27"/>
      <c r="S2" s="27"/>
    </row>
    <row r="3" spans="1:19" ht="16.5">
      <c r="A3" s="27"/>
      <c r="B3" s="27"/>
      <c r="C3" s="27"/>
      <c r="D3" s="27"/>
      <c r="E3" s="28" t="s">
        <v>33</v>
      </c>
      <c r="F3" s="28" t="s">
        <v>34</v>
      </c>
      <c r="G3" s="28" t="s">
        <v>35</v>
      </c>
      <c r="H3" s="28" t="s">
        <v>33</v>
      </c>
      <c r="I3" s="28" t="s">
        <v>34</v>
      </c>
      <c r="J3" s="28" t="s">
        <v>36</v>
      </c>
      <c r="K3" s="28" t="s">
        <v>33</v>
      </c>
      <c r="L3" s="28" t="s">
        <v>34</v>
      </c>
      <c r="M3" s="28" t="s">
        <v>35</v>
      </c>
      <c r="N3" s="28" t="s">
        <v>33</v>
      </c>
      <c r="O3" s="28" t="s">
        <v>34</v>
      </c>
      <c r="P3" s="28" t="s">
        <v>35</v>
      </c>
      <c r="Q3" s="28" t="s">
        <v>33</v>
      </c>
      <c r="R3" s="28" t="s">
        <v>34</v>
      </c>
      <c r="S3" s="28" t="s">
        <v>37</v>
      </c>
    </row>
    <row r="4" spans="1:19" ht="16">
      <c r="A4" s="6">
        <v>1</v>
      </c>
      <c r="B4" s="6" t="s">
        <v>38</v>
      </c>
      <c r="C4" s="13" t="s">
        <v>80</v>
      </c>
      <c r="D4" s="6" t="s">
        <v>39</v>
      </c>
      <c r="E4" s="8">
        <v>6</v>
      </c>
      <c r="F4" s="8">
        <v>7.5</v>
      </c>
      <c r="G4" s="14">
        <f t="shared" ref="G4:G13" si="0">F4-E4</f>
        <v>1.5</v>
      </c>
      <c r="H4" s="8">
        <v>1</v>
      </c>
      <c r="I4" s="8">
        <v>1.8</v>
      </c>
      <c r="J4" s="15">
        <f t="shared" ref="J4:J13" si="1">(I4-H4)/H4</f>
        <v>0.8</v>
      </c>
      <c r="K4" s="16">
        <v>15</v>
      </c>
      <c r="L4" s="16">
        <v>35</v>
      </c>
      <c r="M4" s="17">
        <f t="shared" ref="M4:M13" si="2">L4-K4</f>
        <v>20</v>
      </c>
      <c r="N4" s="18">
        <v>5</v>
      </c>
      <c r="O4" s="18">
        <v>2</v>
      </c>
      <c r="P4" s="19">
        <f t="shared" ref="P4:P13" si="3">O4-N4</f>
        <v>-3</v>
      </c>
      <c r="Q4" s="20">
        <v>0.6</v>
      </c>
      <c r="R4" s="20">
        <v>0.85</v>
      </c>
      <c r="S4" s="15">
        <f t="shared" ref="S4:S13" si="4">R4-Q4</f>
        <v>0.25</v>
      </c>
    </row>
    <row r="5" spans="1:19" ht="16">
      <c r="A5" s="3">
        <v>2</v>
      </c>
      <c r="B5" s="3" t="s">
        <v>40</v>
      </c>
      <c r="C5" s="13" t="s">
        <v>81</v>
      </c>
      <c r="D5" s="3" t="s">
        <v>39</v>
      </c>
      <c r="E5" s="5">
        <v>5.5</v>
      </c>
      <c r="F5" s="5">
        <v>7</v>
      </c>
      <c r="G5" s="21">
        <f t="shared" si="0"/>
        <v>1.5</v>
      </c>
      <c r="H5" s="5">
        <v>1.2</v>
      </c>
      <c r="I5" s="5">
        <v>2</v>
      </c>
      <c r="J5" s="22">
        <f t="shared" si="1"/>
        <v>0.66666666666666674</v>
      </c>
      <c r="K5" s="9">
        <v>10</v>
      </c>
      <c r="L5" s="9">
        <v>40</v>
      </c>
      <c r="M5" s="23">
        <f t="shared" si="2"/>
        <v>30</v>
      </c>
      <c r="N5" s="24">
        <v>6</v>
      </c>
      <c r="O5" s="24">
        <v>1</v>
      </c>
      <c r="P5" s="25">
        <f t="shared" si="3"/>
        <v>-5</v>
      </c>
      <c r="Q5" s="11">
        <v>0.5</v>
      </c>
      <c r="R5" s="11">
        <v>0.8</v>
      </c>
      <c r="S5" s="22">
        <f t="shared" si="4"/>
        <v>0.30000000000000004</v>
      </c>
    </row>
    <row r="6" spans="1:19" ht="16">
      <c r="A6" s="6">
        <v>3</v>
      </c>
      <c r="B6" s="6" t="s">
        <v>41</v>
      </c>
      <c r="C6" s="13" t="s">
        <v>82</v>
      </c>
      <c r="D6" s="6" t="s">
        <v>42</v>
      </c>
      <c r="E6" s="8">
        <v>6.5</v>
      </c>
      <c r="F6" s="8">
        <v>7.5</v>
      </c>
      <c r="G6" s="14">
        <f t="shared" si="0"/>
        <v>1</v>
      </c>
      <c r="H6" s="8">
        <v>1.5</v>
      </c>
      <c r="I6" s="8">
        <v>2.2000000000000002</v>
      </c>
      <c r="J6" s="15">
        <f t="shared" si="1"/>
        <v>0.46666666666666679</v>
      </c>
      <c r="K6" s="16">
        <v>20</v>
      </c>
      <c r="L6" s="16">
        <v>30</v>
      </c>
      <c r="M6" s="17">
        <f t="shared" si="2"/>
        <v>10</v>
      </c>
      <c r="N6" s="18">
        <v>4</v>
      </c>
      <c r="O6" s="18">
        <v>2</v>
      </c>
      <c r="P6" s="19">
        <f t="shared" si="3"/>
        <v>-2</v>
      </c>
      <c r="Q6" s="20">
        <v>0.65</v>
      </c>
      <c r="R6" s="20">
        <v>0.9</v>
      </c>
      <c r="S6" s="15">
        <f t="shared" si="4"/>
        <v>0.25</v>
      </c>
    </row>
    <row r="7" spans="1:19" ht="16">
      <c r="A7" s="3">
        <v>4</v>
      </c>
      <c r="B7" s="3" t="s">
        <v>43</v>
      </c>
      <c r="C7" s="13" t="s">
        <v>83</v>
      </c>
      <c r="D7" s="3" t="s">
        <v>39</v>
      </c>
      <c r="E7" s="5">
        <v>5</v>
      </c>
      <c r="F7" s="5">
        <v>6.8</v>
      </c>
      <c r="G7" s="21">
        <f t="shared" si="0"/>
        <v>1.7999999999999998</v>
      </c>
      <c r="H7" s="5">
        <v>0.8</v>
      </c>
      <c r="I7" s="5">
        <v>1.5</v>
      </c>
      <c r="J7" s="22">
        <f t="shared" si="1"/>
        <v>0.87499999999999989</v>
      </c>
      <c r="K7" s="9">
        <v>0</v>
      </c>
      <c r="L7" s="9">
        <v>25</v>
      </c>
      <c r="M7" s="23">
        <f t="shared" si="2"/>
        <v>25</v>
      </c>
      <c r="N7" s="24">
        <v>5</v>
      </c>
      <c r="O7" s="24">
        <v>3</v>
      </c>
      <c r="P7" s="25">
        <f t="shared" si="3"/>
        <v>-2</v>
      </c>
      <c r="Q7" s="11">
        <v>0.45</v>
      </c>
      <c r="R7" s="11">
        <v>0.75</v>
      </c>
      <c r="S7" s="22">
        <f t="shared" si="4"/>
        <v>0.3</v>
      </c>
    </row>
    <row r="8" spans="1:19" ht="16">
      <c r="A8" s="6">
        <v>5</v>
      </c>
      <c r="B8" s="6" t="s">
        <v>44</v>
      </c>
      <c r="C8" s="13" t="s">
        <v>84</v>
      </c>
      <c r="D8" s="6" t="s">
        <v>39</v>
      </c>
      <c r="E8" s="8">
        <v>6.2</v>
      </c>
      <c r="F8" s="8">
        <v>7.2</v>
      </c>
      <c r="G8" s="14">
        <f t="shared" si="0"/>
        <v>1</v>
      </c>
      <c r="H8" s="8">
        <v>1.1000000000000001</v>
      </c>
      <c r="I8" s="8">
        <v>1.9</v>
      </c>
      <c r="J8" s="15">
        <f t="shared" si="1"/>
        <v>0.72727272727272707</v>
      </c>
      <c r="K8" s="16">
        <v>30</v>
      </c>
      <c r="L8" s="16">
        <v>45</v>
      </c>
      <c r="M8" s="17">
        <f t="shared" si="2"/>
        <v>15</v>
      </c>
      <c r="N8" s="18">
        <v>3</v>
      </c>
      <c r="O8" s="18">
        <v>1</v>
      </c>
      <c r="P8" s="19">
        <f t="shared" si="3"/>
        <v>-2</v>
      </c>
      <c r="Q8" s="20">
        <v>0.7</v>
      </c>
      <c r="R8" s="20">
        <v>0.88</v>
      </c>
      <c r="S8" s="15">
        <f t="shared" si="4"/>
        <v>0.18000000000000005</v>
      </c>
    </row>
    <row r="9" spans="1:19" ht="16">
      <c r="A9" s="3">
        <v>6</v>
      </c>
      <c r="B9" s="3" t="s">
        <v>45</v>
      </c>
      <c r="C9" s="13" t="s">
        <v>85</v>
      </c>
      <c r="D9" s="3" t="s">
        <v>42</v>
      </c>
      <c r="E9" s="5">
        <v>5.8</v>
      </c>
      <c r="F9" s="5">
        <v>7.5</v>
      </c>
      <c r="G9" s="21">
        <f t="shared" si="0"/>
        <v>1.7000000000000002</v>
      </c>
      <c r="H9" s="5">
        <v>1</v>
      </c>
      <c r="I9" s="5">
        <v>2.1</v>
      </c>
      <c r="J9" s="22">
        <f t="shared" si="1"/>
        <v>1.1000000000000001</v>
      </c>
      <c r="K9" s="9">
        <v>15</v>
      </c>
      <c r="L9" s="9">
        <v>35</v>
      </c>
      <c r="M9" s="23">
        <f t="shared" si="2"/>
        <v>20</v>
      </c>
      <c r="N9" s="24">
        <v>4</v>
      </c>
      <c r="O9" s="24">
        <v>2</v>
      </c>
      <c r="P9" s="25">
        <f t="shared" si="3"/>
        <v>-2</v>
      </c>
      <c r="Q9" s="11">
        <v>0.55000000000000004</v>
      </c>
      <c r="R9" s="11">
        <v>0.82</v>
      </c>
      <c r="S9" s="22">
        <f t="shared" si="4"/>
        <v>0.26999999999999991</v>
      </c>
    </row>
    <row r="10" spans="1:19" ht="16">
      <c r="A10" s="6">
        <v>7</v>
      </c>
      <c r="B10" s="6" t="s">
        <v>46</v>
      </c>
      <c r="C10" s="13" t="s">
        <v>86</v>
      </c>
      <c r="D10" s="6" t="s">
        <v>39</v>
      </c>
      <c r="E10" s="8">
        <v>6</v>
      </c>
      <c r="F10" s="8">
        <v>8</v>
      </c>
      <c r="G10" s="14">
        <f t="shared" si="0"/>
        <v>2</v>
      </c>
      <c r="H10" s="8">
        <v>1.4</v>
      </c>
      <c r="I10" s="8">
        <v>2.5</v>
      </c>
      <c r="J10" s="15">
        <f t="shared" si="1"/>
        <v>0.78571428571428581</v>
      </c>
      <c r="K10" s="16">
        <v>20</v>
      </c>
      <c r="L10" s="16">
        <v>50</v>
      </c>
      <c r="M10" s="17">
        <f t="shared" si="2"/>
        <v>30</v>
      </c>
      <c r="N10" s="18">
        <v>5</v>
      </c>
      <c r="O10" s="18">
        <v>1</v>
      </c>
      <c r="P10" s="19">
        <f t="shared" si="3"/>
        <v>-4</v>
      </c>
      <c r="Q10" s="20">
        <v>0.6</v>
      </c>
      <c r="R10" s="20">
        <v>0.92</v>
      </c>
      <c r="S10" s="15">
        <f t="shared" si="4"/>
        <v>0.32000000000000006</v>
      </c>
    </row>
    <row r="11" spans="1:19" ht="16">
      <c r="A11" s="3">
        <v>8</v>
      </c>
      <c r="B11" s="3" t="s">
        <v>47</v>
      </c>
      <c r="C11" s="13" t="s">
        <v>87</v>
      </c>
      <c r="D11" s="3" t="s">
        <v>39</v>
      </c>
      <c r="E11" s="5">
        <v>6.5</v>
      </c>
      <c r="F11" s="5">
        <v>7</v>
      </c>
      <c r="G11" s="21">
        <f t="shared" si="0"/>
        <v>0.5</v>
      </c>
      <c r="H11" s="5">
        <v>1.2</v>
      </c>
      <c r="I11" s="5">
        <v>1.8</v>
      </c>
      <c r="J11" s="22">
        <f t="shared" si="1"/>
        <v>0.50000000000000011</v>
      </c>
      <c r="K11" s="9">
        <v>10</v>
      </c>
      <c r="L11" s="9">
        <v>30</v>
      </c>
      <c r="M11" s="23">
        <f t="shared" si="2"/>
        <v>20</v>
      </c>
      <c r="N11" s="24">
        <v>4</v>
      </c>
      <c r="O11" s="24">
        <v>2</v>
      </c>
      <c r="P11" s="25">
        <f t="shared" si="3"/>
        <v>-2</v>
      </c>
      <c r="Q11" s="11">
        <v>0.57999999999999996</v>
      </c>
      <c r="R11" s="11">
        <v>0.78</v>
      </c>
      <c r="S11" s="22">
        <f t="shared" si="4"/>
        <v>0.20000000000000007</v>
      </c>
    </row>
    <row r="12" spans="1:19" ht="16">
      <c r="A12" s="6">
        <v>9</v>
      </c>
      <c r="B12" s="6" t="s">
        <v>48</v>
      </c>
      <c r="C12" s="13" t="s">
        <v>88</v>
      </c>
      <c r="D12" s="6" t="s">
        <v>42</v>
      </c>
      <c r="E12" s="8">
        <v>5.2</v>
      </c>
      <c r="F12" s="8">
        <v>6.5</v>
      </c>
      <c r="G12" s="14">
        <f t="shared" si="0"/>
        <v>1.2999999999999998</v>
      </c>
      <c r="H12" s="8">
        <v>0.9</v>
      </c>
      <c r="I12" s="8">
        <v>1.6</v>
      </c>
      <c r="J12" s="15">
        <f t="shared" si="1"/>
        <v>0.77777777777777779</v>
      </c>
      <c r="K12" s="16">
        <v>15</v>
      </c>
      <c r="L12" s="16">
        <v>25</v>
      </c>
      <c r="M12" s="17">
        <f t="shared" si="2"/>
        <v>10</v>
      </c>
      <c r="N12" s="18">
        <v>6</v>
      </c>
      <c r="O12" s="18">
        <v>3</v>
      </c>
      <c r="P12" s="19">
        <f t="shared" si="3"/>
        <v>-3</v>
      </c>
      <c r="Q12" s="20">
        <v>0.4</v>
      </c>
      <c r="R12" s="20">
        <v>0.7</v>
      </c>
      <c r="S12" s="15">
        <f t="shared" si="4"/>
        <v>0.29999999999999993</v>
      </c>
    </row>
    <row r="13" spans="1:19" ht="16">
      <c r="A13" s="3">
        <v>10</v>
      </c>
      <c r="B13" s="3" t="s">
        <v>49</v>
      </c>
      <c r="C13" s="13" t="s">
        <v>89</v>
      </c>
      <c r="D13" s="3" t="s">
        <v>39</v>
      </c>
      <c r="E13" s="5">
        <v>6</v>
      </c>
      <c r="F13" s="5">
        <v>7.5</v>
      </c>
      <c r="G13" s="21">
        <f t="shared" si="0"/>
        <v>1.5</v>
      </c>
      <c r="H13" s="5">
        <v>1.3</v>
      </c>
      <c r="I13" s="5">
        <v>2</v>
      </c>
      <c r="J13" s="22">
        <f t="shared" si="1"/>
        <v>0.53846153846153844</v>
      </c>
      <c r="K13" s="9">
        <v>25</v>
      </c>
      <c r="L13" s="9">
        <v>40</v>
      </c>
      <c r="M13" s="23">
        <f t="shared" si="2"/>
        <v>15</v>
      </c>
      <c r="N13" s="24">
        <v>3</v>
      </c>
      <c r="O13" s="24">
        <v>0</v>
      </c>
      <c r="P13" s="25">
        <f t="shared" si="3"/>
        <v>-3</v>
      </c>
      <c r="Q13" s="11">
        <v>0.68</v>
      </c>
      <c r="R13" s="11">
        <v>0.89</v>
      </c>
      <c r="S13" s="22">
        <f t="shared" si="4"/>
        <v>0.20999999999999996</v>
      </c>
    </row>
    <row r="14" spans="1:19" ht="16">
      <c r="A14" s="33"/>
      <c r="B14" s="33"/>
      <c r="C14" s="34" t="s">
        <v>92</v>
      </c>
      <c r="D14" s="33"/>
      <c r="E14" s="46">
        <f>AVERAGE(E4:E13)</f>
        <v>5.87</v>
      </c>
      <c r="F14" s="46">
        <f>AVERAGE(F4:F13)</f>
        <v>7.25</v>
      </c>
      <c r="G14" s="47">
        <f>AVERAGE(G4:G13)</f>
        <v>1.3800000000000001</v>
      </c>
      <c r="H14" s="46">
        <f>AVERAGE(H4:H13)</f>
        <v>1.1400000000000001</v>
      </c>
      <c r="I14" s="46">
        <f>AVERAGE(I4:I13)</f>
        <v>1.9400000000000002</v>
      </c>
      <c r="J14" s="48">
        <f>AVERAGE(J4:J13)</f>
        <v>0.72375596625596628</v>
      </c>
      <c r="K14" s="49">
        <f>AVERAGE(K4:K13)</f>
        <v>16</v>
      </c>
      <c r="L14" s="49">
        <f>AVERAGE(L4:L13)</f>
        <v>35.5</v>
      </c>
      <c r="M14" s="50">
        <f>AVERAGE(M4:M13)</f>
        <v>19.5</v>
      </c>
      <c r="N14" s="46">
        <f>AVERAGE(N4:N13)</f>
        <v>4.5</v>
      </c>
      <c r="O14" s="46">
        <f>AVERAGE(O4:O13)</f>
        <v>1.7</v>
      </c>
      <c r="P14" s="47">
        <f>AVERAGE(P4:P13)</f>
        <v>-2.8</v>
      </c>
      <c r="Q14" s="51">
        <f>AVERAGE(Q4:Q13)</f>
        <v>0.57099999999999995</v>
      </c>
      <c r="R14" s="51">
        <f>AVERAGE(R4:R13)</f>
        <v>0.82900000000000007</v>
      </c>
      <c r="S14" s="48">
        <f>AVERAGE(S4:S13)</f>
        <v>0.25800000000000001</v>
      </c>
    </row>
  </sheetData>
  <mergeCells count="9">
    <mergeCell ref="K2:M2"/>
    <mergeCell ref="H2:J2"/>
    <mergeCell ref="N2:P2"/>
    <mergeCell ref="Q2:S2"/>
    <mergeCell ref="C2:C3"/>
    <mergeCell ref="B2:B3"/>
    <mergeCell ref="A2:A3"/>
    <mergeCell ref="D2:D3"/>
    <mergeCell ref="E2:G2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C16" sqref="C16"/>
    </sheetView>
  </sheetViews>
  <sheetFormatPr defaultRowHeight="14.5"/>
  <cols>
    <col min="1" max="1" width="4" customWidth="1"/>
    <col min="2" max="2" width="12" customWidth="1"/>
    <col min="3" max="3" width="38.81640625" customWidth="1"/>
    <col min="4" max="4" width="49.26953125" customWidth="1"/>
    <col min="5" max="5" width="6" customWidth="1"/>
    <col min="6" max="6" width="22.1796875" customWidth="1"/>
    <col min="7" max="7" width="22.08984375" customWidth="1"/>
    <col min="8" max="8" width="46" customWidth="1"/>
  </cols>
  <sheetData>
    <row r="1" spans="1:7" ht="16.5">
      <c r="A1" s="53" t="s">
        <v>90</v>
      </c>
    </row>
    <row r="2" spans="1:7" ht="16.5">
      <c r="A2" s="28" t="s">
        <v>24</v>
      </c>
      <c r="B2" s="28" t="s">
        <v>50</v>
      </c>
      <c r="C2" s="28" t="s">
        <v>51</v>
      </c>
      <c r="D2" s="28" t="s">
        <v>52</v>
      </c>
      <c r="E2" s="28" t="s">
        <v>91</v>
      </c>
      <c r="F2" s="28" t="s">
        <v>53</v>
      </c>
      <c r="G2" s="28" t="s">
        <v>54</v>
      </c>
    </row>
    <row r="3" spans="1:7" ht="16">
      <c r="A3" s="3">
        <v>1</v>
      </c>
      <c r="B3" s="3" t="s">
        <v>55</v>
      </c>
      <c r="C3" s="29" t="s">
        <v>56</v>
      </c>
      <c r="D3" s="29" t="s">
        <v>57</v>
      </c>
      <c r="E3" s="9">
        <v>450</v>
      </c>
      <c r="F3" s="30">
        <v>20000</v>
      </c>
      <c r="G3" s="35" t="str">
        <f t="shared" ref="G3:G12" si="0">IF(F3&lt;=20000, "Tiết Kiệm Cao", "Hợp Lý")</f>
        <v>Tiết Kiệm Cao</v>
      </c>
    </row>
    <row r="4" spans="1:7" ht="16">
      <c r="A4" s="6">
        <v>2</v>
      </c>
      <c r="B4" s="6" t="s">
        <v>55</v>
      </c>
      <c r="C4" s="31" t="s">
        <v>58</v>
      </c>
      <c r="D4" s="31" t="s">
        <v>59</v>
      </c>
      <c r="E4" s="16">
        <v>420</v>
      </c>
      <c r="F4" s="32">
        <v>18000</v>
      </c>
      <c r="G4" s="36" t="str">
        <f t="shared" si="0"/>
        <v>Tiết Kiệm Cao</v>
      </c>
    </row>
    <row r="5" spans="1:7" ht="16">
      <c r="A5" s="3">
        <v>3</v>
      </c>
      <c r="B5" s="3" t="s">
        <v>55</v>
      </c>
      <c r="C5" s="29" t="s">
        <v>60</v>
      </c>
      <c r="D5" s="29" t="s">
        <v>61</v>
      </c>
      <c r="E5" s="9">
        <v>380</v>
      </c>
      <c r="F5" s="30">
        <v>15000</v>
      </c>
      <c r="G5" s="35" t="str">
        <f t="shared" si="0"/>
        <v>Tiết Kiệm Cao</v>
      </c>
    </row>
    <row r="6" spans="1:7" ht="16">
      <c r="A6" s="6">
        <v>4</v>
      </c>
      <c r="B6" s="6" t="s">
        <v>62</v>
      </c>
      <c r="C6" s="31" t="s">
        <v>63</v>
      </c>
      <c r="D6" s="31" t="s">
        <v>64</v>
      </c>
      <c r="E6" s="16">
        <v>600</v>
      </c>
      <c r="F6" s="32">
        <v>25000</v>
      </c>
      <c r="G6" s="36" t="str">
        <f t="shared" si="0"/>
        <v>Hợp Lý</v>
      </c>
    </row>
    <row r="7" spans="1:7" ht="16">
      <c r="A7" s="3">
        <v>5</v>
      </c>
      <c r="B7" s="3" t="s">
        <v>62</v>
      </c>
      <c r="C7" s="29" t="s">
        <v>65</v>
      </c>
      <c r="D7" s="29" t="s">
        <v>66</v>
      </c>
      <c r="E7" s="9">
        <v>550</v>
      </c>
      <c r="F7" s="30">
        <v>25000</v>
      </c>
      <c r="G7" s="35" t="str">
        <f t="shared" si="0"/>
        <v>Hợp Lý</v>
      </c>
    </row>
    <row r="8" spans="1:7" ht="16">
      <c r="A8" s="6">
        <v>6</v>
      </c>
      <c r="B8" s="6" t="s">
        <v>62</v>
      </c>
      <c r="C8" s="31" t="s">
        <v>67</v>
      </c>
      <c r="D8" s="31" t="s">
        <v>68</v>
      </c>
      <c r="E8" s="16">
        <v>520</v>
      </c>
      <c r="F8" s="32">
        <v>22000</v>
      </c>
      <c r="G8" s="36" t="str">
        <f t="shared" si="0"/>
        <v>Hợp Lý</v>
      </c>
    </row>
    <row r="9" spans="1:7" ht="16">
      <c r="A9" s="3">
        <v>7</v>
      </c>
      <c r="B9" s="3" t="s">
        <v>69</v>
      </c>
      <c r="C9" s="29" t="s">
        <v>70</v>
      </c>
      <c r="D9" s="29" t="s">
        <v>71</v>
      </c>
      <c r="E9" s="9">
        <v>480</v>
      </c>
      <c r="F9" s="30">
        <v>20000</v>
      </c>
      <c r="G9" s="35" t="str">
        <f t="shared" si="0"/>
        <v>Tiết Kiệm Cao</v>
      </c>
    </row>
    <row r="10" spans="1:7" ht="16">
      <c r="A10" s="6">
        <v>8</v>
      </c>
      <c r="B10" s="6" t="s">
        <v>69</v>
      </c>
      <c r="C10" s="31" t="s">
        <v>72</v>
      </c>
      <c r="D10" s="31" t="s">
        <v>73</v>
      </c>
      <c r="E10" s="16">
        <v>450</v>
      </c>
      <c r="F10" s="32">
        <v>18000</v>
      </c>
      <c r="G10" s="36" t="str">
        <f t="shared" si="0"/>
        <v>Tiết Kiệm Cao</v>
      </c>
    </row>
    <row r="11" spans="1:7" ht="16">
      <c r="A11" s="3">
        <v>9</v>
      </c>
      <c r="B11" s="3" t="s">
        <v>69</v>
      </c>
      <c r="C11" s="29" t="s">
        <v>74</v>
      </c>
      <c r="D11" s="29" t="s">
        <v>75</v>
      </c>
      <c r="E11" s="9">
        <v>430</v>
      </c>
      <c r="F11" s="30">
        <v>22000</v>
      </c>
      <c r="G11" s="35" t="str">
        <f t="shared" si="0"/>
        <v>Hợp Lý</v>
      </c>
    </row>
    <row r="12" spans="1:7" ht="16">
      <c r="A12" s="6">
        <v>10</v>
      </c>
      <c r="B12" s="6" t="s">
        <v>76</v>
      </c>
      <c r="C12" s="31" t="s">
        <v>77</v>
      </c>
      <c r="D12" s="31" t="s">
        <v>78</v>
      </c>
      <c r="E12" s="16">
        <v>150</v>
      </c>
      <c r="F12" s="32">
        <v>8000</v>
      </c>
      <c r="G12" s="36" t="str">
        <f t="shared" si="0"/>
        <v>Tiết Kiệm Cao</v>
      </c>
    </row>
    <row r="13" spans="1:7" ht="16">
      <c r="A13" s="33"/>
      <c r="B13" s="33"/>
      <c r="C13" s="37"/>
      <c r="D13" s="34" t="s">
        <v>79</v>
      </c>
      <c r="E13" s="38">
        <f>E3+E6+E9</f>
        <v>1530</v>
      </c>
      <c r="F13" s="39">
        <f>F3+F6+F9</f>
        <v>65000</v>
      </c>
      <c r="G13" s="3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Tổng Quan</vt:lpstr>
      <vt:lpstr>Dữ Liệu Người Dùng</vt:lpstr>
      <vt:lpstr>Thực Đơn Cân Bằng Giá Rẻ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Huyen</cp:lastModifiedBy>
  <dcterms:created xsi:type="dcterms:W3CDTF">2026-10-25T14:42:03Z</dcterms:created>
  <dcterms:modified xsi:type="dcterms:W3CDTF">2026-10-25T16:04:36Z</dcterms:modified>
</cp:coreProperties>
</file>